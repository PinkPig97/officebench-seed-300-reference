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3af71f0003347e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puts" sheetId="1" r:id="Rbdccf9d963264d05"/>
    <x:sheet xmlns:r="http://schemas.openxmlformats.org/officeDocument/2006/relationships" name="Debt_Schedule" sheetId="2" r:id="R67a6f98c835b4398"/>
    <x:sheet xmlns:r="http://schemas.openxmlformats.org/officeDocument/2006/relationships" name="Covenant_Test" sheetId="3" r:id="R4fcf1ebd82124c44"/>
    <x:sheet xmlns:r="http://schemas.openxmlformats.org/officeDocument/2006/relationships" name="Summary" sheetId="4" r:id="Rf573600bc7314b0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.00;[Red](#,##0.00);-"/>
    <x:numFmt numFmtId="201" formatCode="0.0%"/>
    <x:numFmt numFmtId="202" formatCode="0.00x"/>
  </x:numFmts>
  <x:fonts count="6">
    <x:font>
      <x:sz val="11"/>
      <x:name val="Carlito"/>
    </x:font>
    <x:font>
      <x:b/>
      <x:sz val="12"/>
      <x:color rgb="111827"/>
      <x:name val="Calibri"/>
    </x:font>
    <x:font>
      <x:b/>
      <x:sz val="11"/>
      <x:color rgb="FFFFFF"/>
      <x:name val="Calibri"/>
    </x:font>
    <x:font>
      <x:sz val="11"/>
      <x:color rgb="111827"/>
      <x:name val="Calibri"/>
    </x:font>
    <x:font>
      <x:sz val="11"/>
      <x:color rgb="0000FF"/>
      <x:name val="Calibri"/>
    </x:font>
    <x:font>
      <x:b/>
      <x:sz val="11"/>
      <x:color rgb="111827"/>
      <x:name val="Calibri"/>
    </x:font>
  </x:fonts>
  <x:fills count="8">
    <x:fill>
      <x:patternFill patternType="none"/>
    </x:fill>
    <x:fill>
      <x:patternFill patternType="gray125"/>
    </x:fill>
    <x:fill>
      <x:patternFill patternType="solid">
        <x:fgColor rgb="E5E7EB"/>
      </x:patternFill>
    </x:fill>
    <x:fill>
      <x:patternFill patternType="solid">
        <x:fgColor rgb="1F2937"/>
      </x:patternFill>
    </x:fill>
    <x:fill>
      <x:patternFill patternType="solid">
        <x:fgColor rgb="F8FAFC"/>
      </x:patternFill>
    </x:fill>
    <x:fill>
      <x:patternFill patternType="solid">
        <x:fgColor rgb="FFF2CC"/>
      </x:patternFill>
    </x:fill>
    <x:fill>
      <x:patternFill patternType="solid">
        <x:fgColor rgb="DDEBF7"/>
      </x:patternFill>
    </x:fill>
    <x:fill>
      <x:patternFill patternType="solid">
        <x:fgColor rgb="F3F4F6"/>
      </x:patternFill>
    </x:fill>
  </x:fills>
  <x:borders count="2">
    <x:border/>
    <x:border/>
  </x:borders>
  <x:cellStyleXfs count="1">
    <x:xf numFmtId="0" fontId="0" fillId="0" borderId="0"/>
  </x:cellStyleXfs>
  <x:cellXfs count="44">
    <x:xf numFmtId="0" fontId="0" fillId="0" borderId="0" xfId="0"/>
    <x:xf numFmtId="0" fontId="0" fillId="2" borderId="0" xfId="0" applyNumberFormat="1" applyFont="1" applyFill="1" applyBorder="1"/>
    <x:xf numFmtId="0" fontId="0" fillId="0" borderId="1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0" fillId="5" borderId="0" xfId="0" applyNumberFormat="1" applyFont="1" applyFill="1" applyBorder="1"/>
    <x:xf numFmtId="0" fontId="0" fillId="5" borderId="1" xfId="0" applyNumberFormat="1" applyFont="1" applyFill="1" applyBorder="1"/>
    <x:xf numFmtId="0" fontId="4" fillId="5" borderId="0" xfId="0" applyNumberFormat="1" applyFont="1" applyFill="1" applyBorder="1"/>
    <x:xf numFmtId="0" fontId="4" fillId="5" borderId="1" xfId="0" applyNumberFormat="1" applyFont="1" applyFill="1" applyBorder="1"/>
    <x:xf numFmtId="200" fontId="4" fillId="5" borderId="0" xfId="0" applyNumberFormat="1" applyFont="1" applyFill="1" applyBorder="1"/>
    <x:xf numFmtId="200" fontId="4" fillId="5" borderId="1" xfId="0" applyNumberFormat="1" applyFont="1" applyFill="1" applyBorder="1"/>
    <x:xf numFmtId="201" fontId="4" fillId="5" borderId="0" xfId="0" applyNumberFormat="1" applyFont="1" applyFill="1" applyBorder="1"/>
    <x:xf numFmtId="201" fontId="4" fillId="5" borderId="1" xfId="0" applyNumberFormat="1" applyFont="1" applyFill="1" applyBorder="1"/>
    <x:xf numFmtId="0" fontId="0" fillId="6" borderId="0" xfId="0" applyNumberFormat="1" applyFont="1" applyFill="1" applyBorder="1"/>
    <x:xf numFmtId="0" fontId="0" fillId="6" borderId="1" xfId="0" applyNumberFormat="1" applyFont="1" applyFill="1" applyBorder="1"/>
    <x:xf numFmtId="0" fontId="3" fillId="6" borderId="0" xfId="0" applyNumberFormat="1" applyFont="1" applyFill="1" applyBorder="1"/>
    <x:xf numFmtId="0" fontId="3" fillId="6" borderId="1" xfId="0" applyNumberFormat="1" applyFont="1" applyFill="1" applyBorder="1"/>
    <x:xf numFmtId="200" fontId="3" fillId="6" borderId="0" xfId="0" applyNumberFormat="1" applyFont="1" applyFill="1" applyBorder="1"/>
    <x:xf numFmtId="200" fontId="3" fillId="6" borderId="1" xfId="0" applyNumberFormat="1" applyFont="1" applyFill="1" applyBorder="1"/>
    <x:xf numFmtId="0" fontId="0" fillId="7" borderId="0" xfId="0" applyNumberFormat="1" applyFont="1" applyFill="1" applyBorder="1"/>
    <x:xf numFmtId="0" fontId="0" fillId="7" borderId="1" xfId="0" applyNumberFormat="1" applyFont="1" applyFill="1" applyBorder="1"/>
    <x:xf numFmtId="0" fontId="5" fillId="7" borderId="0" xfId="0" applyNumberFormat="1" applyFont="1" applyFill="1" applyBorder="1"/>
    <x:xf numFmtId="0" fontId="5" fillId="7" borderId="1" xfId="0" applyNumberFormat="1" applyFont="1" applyFill="1" applyBorder="1"/>
    <x:xf numFmtId="0" fontId="5" fillId="7" borderId="0" xfId="0" applyNumberFormat="1" applyFont="1" applyFill="1" applyBorder="1" applyAlignment="1">
      <x:alignment horizontal="center"/>
    </x:xf>
    <x:xf numFmtId="0" fontId="5" fillId="7" borderId="1" xfId="0" applyNumberFormat="1" applyFont="1" applyFill="1" applyBorder="1" applyAlignment="1">
      <x:alignment horizontal="center"/>
    </x:xf>
    <x:xf numFmtId="202" fontId="3" fillId="6" borderId="0" xfId="0" applyNumberFormat="1" applyFont="1" applyFill="1" applyBorder="1"/>
    <x:xf numFmtId="202" fontId="3" fillId="6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dc3ab43664a469c" /><Relationship Type="http://schemas.openxmlformats.org/officeDocument/2006/relationships/theme" Target="/xl/theme/theme1.xml" Id="R9f6fa89a2a1a4477" /><Relationship Type="http://schemas.openxmlformats.org/officeDocument/2006/relationships/sharedStrings" Target="/xl/sharedStrings.xml" Id="Rfd45d5139b7946c3" /><Relationship Type="http://schemas.openxmlformats.org/officeDocument/2006/relationships/worksheet" Target="/xl/worksheets/sheet1.xml" Id="Rbdccf9d963264d05" /><Relationship Type="http://schemas.openxmlformats.org/officeDocument/2006/relationships/worksheet" Target="/xl/worksheets/sheet2.xml" Id="R67a6f98c835b4398" /><Relationship Type="http://schemas.openxmlformats.org/officeDocument/2006/relationships/worksheet" Target="/xl/worksheets/sheet3.xml" Id="R4fcf1ebd82124c44" /><Relationship Type="http://schemas.openxmlformats.org/officeDocument/2006/relationships/worksheet" Target="/xl/worksheets/sheet4.xml" Id="Rf573600bc7314b0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43.13999938964844" hidden="0" customWidth="1"/>
    <x:col min="2" max="2" width="7.429999828338623" hidden="0" customWidth="1"/>
    <x:col min="3" max="3" width="7.429999828338623" hidden="0" customWidth="1"/>
    <x:col min="4" max="4" width="7.429999828338623" hidden="0" customWidth="1"/>
    <x:col min="5" max="5" width="7.429999828338623" hidden="0" customWidth="1"/>
    <x:col min="6" max="6" width="7.429999828338623" hidden="0" customWidth="1"/>
    <x:col min="7" max="7" width="7.429999828338623" hidden="0" customWidth="1"/>
    <x:col min="8" max="8" width="7.429999828338623" hidden="0" customWidth="1"/>
    <x:col min="9" max="9" width="7.429999828338623" hidden="0" customWidth="1"/>
  </x:cols>
  <x:sheetData>
    <x:row r="1">
      <x:c r="A1" s="8" t="str">
        <x:v>Debt Schedule + Covenant Test - Inputs</x:v>
      </x:c>
      <x:c r="B1" s="8"/>
      <x:c r="C1" s="8"/>
      <x:c r="D1" s="8"/>
      <x:c r="E1" s="8"/>
      <x:c r="F1" s="8"/>
      <x:c r="G1" s="8"/>
      <x:c r="H1" s="8"/>
      <x:c r="I1" s="8"/>
    </x:row>
    <x:row r="4">
      <x:c r="A4" s="16" t="str">
        <x:v>Financing Terms</x:v>
      </x:c>
      <x:c r="B4" s="16"/>
      <x:c r="C4" s="16"/>
    </x:row>
    <x:row r="5">
      <x:c r="A5" s="20" t="str">
        <x:v>Opening Debt (2026Q1, $mm)</x:v>
      </x:c>
      <x:c r="C5" s="26" t="n">
        <x:v>600</x:v>
      </x:c>
    </x:row>
    <x:row r="6">
      <x:c r="A6" s="20" t="str">
        <x:v>Annual Cash Interest Rate</x:v>
      </x:c>
      <x:c r="C6" s="28" t="n">
        <x:v>0.08</x:v>
      </x:c>
    </x:row>
    <x:row r="9">
      <x:c r="A9" s="16" t="str">
        <x:v>Forecast Metric</x:v>
      </x:c>
      <x:c r="B9" s="16" t="str">
        <x:v>2026Q1</x:v>
      </x:c>
      <x:c r="C9" s="16" t="str">
        <x:v>2026Q2</x:v>
      </x:c>
      <x:c r="D9" s="16" t="str">
        <x:v>2026Q3</x:v>
      </x:c>
      <x:c r="E9" s="16" t="str">
        <x:v>2026Q4</x:v>
      </x:c>
    </x:row>
    <x:row r="10">
      <x:c r="A10" s="20" t="str">
        <x:v>Scheduled Amortization ($mm)</x:v>
      </x:c>
      <x:c r="B10" s="26" t="n">
        <x:v>20</x:v>
      </x:c>
      <x:c r="C10" s="26" t="n">
        <x:v>25</x:v>
      </x:c>
      <x:c r="D10" s="26" t="n">
        <x:v>35</x:v>
      </x:c>
      <x:c r="E10" s="26" t="n">
        <x:v>40</x:v>
      </x:c>
    </x:row>
    <x:row r="11">
      <x:c r="A11" s="20" t="str">
        <x:v>Unrestricted Cash ($mm)</x:v>
      </x:c>
      <x:c r="B11" s="26" t="n">
        <x:v>120</x:v>
      </x:c>
      <x:c r="C11" s="26" t="n">
        <x:v>95</x:v>
      </x:c>
      <x:c r="D11" s="26" t="n">
        <x:v>80</x:v>
      </x:c>
      <x:c r="E11" s="26" t="n">
        <x:v>100</x:v>
      </x:c>
    </x:row>
    <x:row r="12">
      <x:c r="A12" s="20" t="str">
        <x:v>Forecast EBITDA ($mm)</x:v>
      </x:c>
      <x:c r="B12" s="26" t="n">
        <x:v>30</x:v>
      </x:c>
      <x:c r="C12" s="26" t="n">
        <x:v>34</x:v>
      </x:c>
      <x:c r="D12" s="26" t="n">
        <x:v>38</x:v>
      </x:c>
      <x:c r="E12" s="26" t="n">
        <x:v>42</x:v>
      </x:c>
    </x:row>
    <x:row r="15">
      <x:c r="A15" s="16" t="str">
        <x:v>LTM EBITDA Source</x:v>
      </x:c>
      <x:c r="B15" s="16" t="str">
        <x:v>2025Q1</x:v>
      </x:c>
      <x:c r="C15" s="16" t="str">
        <x:v>2025Q2</x:v>
      </x:c>
      <x:c r="D15" s="16" t="str">
        <x:v>2025Q3</x:v>
      </x:c>
      <x:c r="E15" s="16" t="str">
        <x:v>2025Q4</x:v>
      </x:c>
      <x:c r="F15" s="16" t="str">
        <x:v>2026Q1</x:v>
      </x:c>
      <x:c r="G15" s="16" t="str">
        <x:v>2026Q2</x:v>
      </x:c>
      <x:c r="H15" s="16" t="str">
        <x:v>2026Q3</x:v>
      </x:c>
      <x:c r="I15" s="16" t="str">
        <x:v>2026Q4</x:v>
      </x:c>
    </x:row>
    <x:row r="16">
      <x:c r="A16" s="20" t="str">
        <x:v>EBITDA ($mm)</x:v>
      </x:c>
      <x:c r="B16" s="26" t="n">
        <x:v>26</x:v>
      </x:c>
      <x:c r="C16" s="26" t="n">
        <x:v>28</x:v>
      </x:c>
      <x:c r="D16" s="26" t="n">
        <x:v>30</x:v>
      </x:c>
      <x:c r="E16" s="26" t="n">
        <x:v>32</x:v>
      </x:c>
      <x:c r="F16" s="26" t="n">
        <x:v>30</x:v>
      </x:c>
      <x:c r="G16" s="26" t="n">
        <x:v>34</x:v>
      </x:c>
      <x:c r="H16" s="26" t="n">
        <x:v>38</x:v>
      </x:c>
      <x:c r="I16" s="26" t="n">
        <x:v>42</x:v>
      </x:c>
    </x:row>
  </x:sheetData>
  <x:mergeCells>
    <x:mergeCell ref="A1:I1"/>
    <x:mergeCell ref="A4:C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52.290000915527344" hidden="0" customWidth="1"/>
    <x:col min="2" max="2" width="7.429999828338623" hidden="0" customWidth="1"/>
    <x:col min="3" max="3" width="7.429999828338623" hidden="0" customWidth="1"/>
    <x:col min="4" max="4" width="7.429999828338623" hidden="0" customWidth="1"/>
    <x:col min="5" max="5" width="7.429999828338623" hidden="0" customWidth="1"/>
  </x:cols>
  <x:sheetData>
    <x:row r="1">
      <x:c r="A1" s="8" t="str">
        <x:v>Debt Schedule + Covenant Test - Debt Schedule</x:v>
      </x:c>
      <x:c r="B1" s="8"/>
      <x:c r="C1" s="8"/>
      <x:c r="D1" s="8"/>
      <x:c r="E1" s="8"/>
    </x:row>
    <x:row r="2">
      <x:c r="A2" s="16" t="str">
        <x:v>Line Item</x:v>
      </x:c>
      <x:c r="B2" s="16" t="str">
        <x:v>2026Q1</x:v>
      </x:c>
      <x:c r="C2" s="16" t="str">
        <x:v>2026Q2</x:v>
      </x:c>
      <x:c r="D2" s="16" t="str">
        <x:v>2026Q3</x:v>
      </x:c>
      <x:c r="E2" s="16" t="str">
        <x:v>2026Q4</x:v>
      </x:c>
    </x:row>
    <x:row r="4">
      <x:c r="A4" s="20" t="str">
        <x:v>Opening Debt ($mm)</x:v>
      </x:c>
      <x:c r="B4" s="34" t="n">
        <x:f>Inputs!$C$5</x:f>
        <x:v>600</x:v>
      </x:c>
      <x:c r="C4" s="34" t="n">
        <x:f>B7</x:f>
        <x:v>580</x:v>
      </x:c>
      <x:c r="D4" s="34" t="n">
        <x:f>C7</x:f>
        <x:v>555</x:v>
      </x:c>
      <x:c r="E4" s="34" t="n">
        <x:f>D7</x:f>
        <x:v>520</x:v>
      </x:c>
    </x:row>
    <x:row r="5">
      <x:c r="A5" s="20" t="str">
        <x:v>Scheduled Amortization ($mm)</x:v>
      </x:c>
      <x:c r="B5" s="34" t="n">
        <x:f>Inputs!B10</x:f>
        <x:v>20</x:v>
      </x:c>
      <x:c r="C5" s="34" t="n">
        <x:f>Inputs!C10</x:f>
        <x:v>25</x:v>
      </x:c>
      <x:c r="D5" s="34" t="n">
        <x:f>Inputs!D10</x:f>
        <x:v>35</x:v>
      </x:c>
      <x:c r="E5" s="34" t="n">
        <x:f>Inputs!E10</x:f>
        <x:v>40</x:v>
      </x:c>
    </x:row>
    <x:row r="6">
      <x:c r="A6" s="20" t="str">
        <x:v>Interest Expense ($mm)</x:v>
      </x:c>
      <x:c r="B6" s="34" t="n">
        <x:f>B4*Inputs!$C$6/4</x:f>
        <x:v>12</x:v>
      </x:c>
      <x:c r="C6" s="34" t="n">
        <x:f>C4*Inputs!$C$6/4</x:f>
        <x:v>11.6</x:v>
      </x:c>
      <x:c r="D6" s="34" t="n">
        <x:f>D4*Inputs!$C$6/4</x:f>
        <x:v>11.1</x:v>
      </x:c>
      <x:c r="E6" s="34" t="n">
        <x:f>E4*Inputs!$C$6/4</x:f>
        <x:v>10.4</x:v>
      </x:c>
    </x:row>
    <x:row r="7">
      <x:c r="A7" s="20" t="str">
        <x:v>Closing Debt ($mm)</x:v>
      </x:c>
      <x:c r="B7" s="34" t="n">
        <x:f>B4-B5</x:f>
        <x:v>580</x:v>
      </x:c>
      <x:c r="C7" s="34" t="n">
        <x:f>C4-C5</x:f>
        <x:v>555</x:v>
      </x:c>
      <x:c r="D7" s="34" t="n">
        <x:f>D4-D5</x:f>
        <x:v>520</x:v>
      </x:c>
      <x:c r="E7" s="34" t="n">
        <x:f>E4-E5</x:f>
        <x:v>480</x:v>
      </x:c>
    </x:row>
  </x:sheetData>
  <x:mergeCells>
    <x:mergeCell ref="A1:E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51.86000061035156" hidden="0" customWidth="1"/>
    <x:col min="2" max="2" width="8.859999656677246" hidden="0" customWidth="1"/>
    <x:col min="3" max="3" width="8.859999656677246" hidden="0" customWidth="1"/>
    <x:col min="4" max="4" width="7.429999828338623" hidden="0" customWidth="1"/>
    <x:col min="5" max="5" width="7.429999828338623" hidden="0" customWidth="1"/>
  </x:cols>
  <x:sheetData>
    <x:row r="1">
      <x:c r="A1" s="8" t="str">
        <x:v>Debt Schedule + Covenant Test - Covenant Test</x:v>
      </x:c>
      <x:c r="B1" s="8"/>
      <x:c r="C1" s="8"/>
      <x:c r="D1" s="8"/>
      <x:c r="E1" s="8"/>
    </x:row>
    <x:row r="2">
      <x:c r="A2" s="16" t="str">
        <x:v>Metric</x:v>
      </x:c>
      <x:c r="B2" s="16" t="str">
        <x:v>2026Q1</x:v>
      </x:c>
      <x:c r="C2" s="16" t="str">
        <x:v>2026Q2</x:v>
      </x:c>
      <x:c r="D2" s="16" t="str">
        <x:v>2026Q3</x:v>
      </x:c>
      <x:c r="E2" s="16" t="str">
        <x:v>2026Q4</x:v>
      </x:c>
    </x:row>
    <x:row r="4">
      <x:c r="A4" s="20" t="str">
        <x:v>Unrestricted Cash ($mm)</x:v>
      </x:c>
      <x:c r="B4" s="34" t="n">
        <x:f>Inputs!B11</x:f>
        <x:v>120</x:v>
      </x:c>
      <x:c r="C4" s="34" t="n">
        <x:f>Inputs!C11</x:f>
        <x:v>95</x:v>
      </x:c>
      <x:c r="D4" s="34" t="n">
        <x:f>Inputs!D11</x:f>
        <x:v>80</x:v>
      </x:c>
      <x:c r="E4" s="34" t="n">
        <x:f>Inputs!E11</x:f>
        <x:v>100</x:v>
      </x:c>
    </x:row>
    <x:row r="5">
      <x:c r="A5" s="20" t="str">
        <x:v>Closing Debt ($mm)</x:v>
      </x:c>
      <x:c r="B5" s="34" t="n">
        <x:f>Debt_Schedule!B7</x:f>
        <x:v>580</x:v>
      </x:c>
      <x:c r="C5" s="34" t="n">
        <x:f>Debt_Schedule!C7</x:f>
        <x:v>555</x:v>
      </x:c>
      <x:c r="D5" s="34" t="n">
        <x:f>Debt_Schedule!D7</x:f>
        <x:v>520</x:v>
      </x:c>
      <x:c r="E5" s="34" t="n">
        <x:f>Debt_Schedule!E7</x:f>
        <x:v>480</x:v>
      </x:c>
    </x:row>
    <x:row r="6">
      <x:c r="A6" s="20" t="str">
        <x:v>Net Debt ($mm)</x:v>
      </x:c>
      <x:c r="B6" s="34" t="n">
        <x:f>MAX(B5-B4,0)</x:f>
        <x:v>460</x:v>
      </x:c>
      <x:c r="C6" s="34" t="n">
        <x:f>MAX(C5-C4,0)</x:f>
        <x:v>460</x:v>
      </x:c>
      <x:c r="D6" s="34" t="n">
        <x:f>MAX(D5-D4,0)</x:f>
        <x:v>440</x:v>
      </x:c>
      <x:c r="E6" s="34" t="n">
        <x:f>MAX(E5-E4,0)</x:f>
        <x:v>380</x:v>
      </x:c>
    </x:row>
    <x:row r="7">
      <x:c r="A7" s="20" t="str">
        <x:v>LTM EBITDA ($mm)</x:v>
      </x:c>
      <x:c r="B7" s="34" t="n">
        <x:f>SUM(Inputs!C16:F16)</x:f>
        <x:v>120</x:v>
      </x:c>
      <x:c r="C7" s="34" t="n">
        <x:f>SUM(Inputs!D16:G16)</x:f>
        <x:v>126</x:v>
      </x:c>
      <x:c r="D7" s="34" t="n">
        <x:f>SUM(Inputs!E16:H16)</x:f>
        <x:v>134</x:v>
      </x:c>
      <x:c r="E7" s="34" t="n">
        <x:f>SUM(Inputs!F16:I16)</x:f>
        <x:v>144</x:v>
      </x:c>
    </x:row>
    <x:row r="8">
      <x:c r="A8" s="20" t="str">
        <x:v>Net Leverage (x)</x:v>
      </x:c>
      <x:c r="B8" s="42" t="n">
        <x:f>B6/B7</x:f>
        <x:v>3.8333333333333335</x:v>
      </x:c>
      <x:c r="C8" s="42" t="n">
        <x:f>C6/C7</x:f>
        <x:v>3.6507936507936507</x:v>
      </x:c>
      <x:c r="D8" s="42" t="n">
        <x:f>D6/D7</x:f>
        <x:v>3.283582089552239</x:v>
      </x:c>
      <x:c r="E8" s="42" t="n">
        <x:f>E6/E7</x:f>
        <x:v>2.638888888888889</x:v>
      </x:c>
    </x:row>
    <x:row r="9">
      <x:c r="A9" s="20" t="str">
        <x:v>Status</x:v>
      </x:c>
      <x:c r="B9" s="40" t="str">
        <x:f>IF(B8&lt;=3.25,"PASS",IF(B8&lt;=3.5,"WARN","BREACH"))</x:f>
        <x:v>BREACH</x:v>
      </x:c>
      <x:c r="C9" s="40" t="str">
        <x:f>IF(C8&lt;=3.25,"PASS",IF(C8&lt;=3.5,"WARN","BREACH"))</x:f>
        <x:v>BREACH</x:v>
      </x:c>
      <x:c r="D9" s="40" t="str">
        <x:f>IF(D8&lt;=3.25,"PASS",IF(D8&lt;=3.5,"WARN","BREACH"))</x:f>
        <x:v>WARN</x:v>
      </x:c>
      <x:c r="E9" s="40" t="str">
        <x:f>IF(E8&lt;=3.25,"PASS",IF(E8&lt;=3.5,"WARN","BREACH"))</x:f>
        <x:v>PASS</x:v>
      </x:c>
    </x:row>
  </x:sheetData>
  <x:mergeCells>
    <x:mergeCell ref="A1:E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5.139999389648438" hidden="0" customWidth="1"/>
    <x:col min="2" max="2" width="8.859999656677246" hidden="0" customWidth="1"/>
    <x:col min="3" max="3" width="8.859999656677246" hidden="0" customWidth="1"/>
    <x:col min="4" max="4" width="7.429999828338623" hidden="0" customWidth="1"/>
    <x:col min="5" max="5" width="7.429999828338623" hidden="0" customWidth="1"/>
  </x:cols>
  <x:sheetData>
    <x:row r="1">
      <x:c r="A1" s="8" t="str">
        <x:v>Final Quarter Summary</x:v>
      </x:c>
      <x:c r="B1" s="8"/>
    </x:row>
    <x:row r="4">
      <x:c r="A4" s="20" t="str">
        <x:v>Final Quarter</x:v>
      </x:c>
      <x:c r="B4" s="34" t="str">
        <x:f>Covenant_Test!E2</x:f>
        <x:v>2026Q4</x:v>
      </x:c>
    </x:row>
    <x:row r="5">
      <x:c r="A5" s="20" t="str">
        <x:v>Closing Debt ($mm)</x:v>
      </x:c>
      <x:c r="B5" s="34" t="n">
        <x:f>Debt_Schedule!E7</x:f>
        <x:v>480</x:v>
      </x:c>
    </x:row>
    <x:row r="6">
      <x:c r="A6" s="20" t="str">
        <x:v>Net Leverage (x)</x:v>
      </x:c>
      <x:c r="B6" s="42" t="n">
        <x:f>Covenant_Test!E8</x:f>
        <x:v>2.638888888888889</x:v>
      </x:c>
    </x:row>
    <x:row r="7">
      <x:c r="A7" s="20" t="str">
        <x:v>Status</x:v>
      </x:c>
      <x:c r="B7" s="40" t="str">
        <x:f>Covenant_Test!E9</x:f>
        <x:v>PASS</x:v>
      </x:c>
    </x:row>
    <x:row r="10">
      <x:c r="A10" s="16" t="str">
        <x:v>Metric</x:v>
      </x:c>
      <x:c r="B10" s="16" t="str">
        <x:v>2026Q1</x:v>
      </x:c>
      <x:c r="C10" s="16" t="str">
        <x:v>2026Q2</x:v>
      </x:c>
      <x:c r="D10" s="16" t="str">
        <x:v>2026Q3</x:v>
      </x:c>
      <x:c r="E10" s="16" t="str">
        <x:v>2026Q4</x:v>
      </x:c>
    </x:row>
    <x:row r="11">
      <x:c r="A11" s="20" t="str">
        <x:v>Quarterly Status</x:v>
      </x:c>
      <x:c r="B11" s="40" t="str">
        <x:f>Covenant_Test!B9</x:f>
        <x:v>BREACH</x:v>
      </x:c>
      <x:c r="C11" s="40" t="str">
        <x:f>Covenant_Test!C9</x:f>
        <x:v>BREACH</x:v>
      </x:c>
      <x:c r="D11" s="40" t="str">
        <x:f>Covenant_Test!D9</x:f>
        <x:v>WARN</x:v>
      </x:c>
      <x:c r="E11" s="40" t="str">
        <x:f>Covenant_Test!E9</x:f>
        <x:v>PASS</x:v>
      </x:c>
    </x:row>
    <x:row r="12">
      <x:c r="A12" s="20" t="str">
        <x:v>Quarterly Net Leverage (x)</x:v>
      </x:c>
      <x:c r="B12" s="42" t="n">
        <x:f>Covenant_Test!B8</x:f>
        <x:v>3.8333333333333335</x:v>
      </x:c>
      <x:c r="C12" s="42" t="n">
        <x:f>Covenant_Test!C8</x:f>
        <x:v>3.6507936507936507</x:v>
      </x:c>
      <x:c r="D12" s="42" t="n">
        <x:f>Covenant_Test!D8</x:f>
        <x:v>3.283582089552239</x:v>
      </x:c>
      <x:c r="E12" s="42" t="n">
        <x:f>Covenant_Test!E8</x:f>
        <x:v>2.638888888888889</x:v>
      </x:c>
    </x:row>
  </x:sheetData>
  <x:mergeCells>
    <x:mergeCell ref="A1:B1"/>
  </x:mergeCells>
  <x:pageMargins left="0.7" right="0.7" top="0.75" bottom="0.75" header="0.3" footer="0.3"/>
</x:worksheet>
</file>